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a\Desktop\"/>
    </mc:Choice>
  </mc:AlternateContent>
  <xr:revisionPtr revIDLastSave="0" documentId="13_ncr:1_{4D0CE7F6-1D73-410E-A557-84FBF7DA8AB8}" xr6:coauthVersionLast="47" xr6:coauthVersionMax="47" xr10:uidLastSave="{00000000-0000-0000-0000-000000000000}"/>
  <bookViews>
    <workbookView xWindow="-120" yWindow="-120" windowWidth="29040" windowHeight="15720" xr2:uid="{D7A3D85E-14A2-4FBE-9AE6-A13730B7DE0F}"/>
  </bookViews>
  <sheets>
    <sheet name="Painel" sheetId="1" r:id="rId1"/>
    <sheet name="tbl_apoio" sheetId="2" r:id="rId2"/>
  </sheets>
  <definedNames>
    <definedName name="aporte">Painel!$D$13</definedName>
    <definedName name="patrimonio">Painel!$D$16</definedName>
    <definedName name="perfil">Painel!$G$7</definedName>
    <definedName name="qntd_anos">Painel!$D$14</definedName>
    <definedName name="rendimento_carteira">Painel!$D$9</definedName>
    <definedName name="taxa_mensal">Painel!$D$15</definedName>
    <definedName name="valor_sug">Painel!$G$8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21" i="1"/>
  <c r="E21" i="1" s="1"/>
  <c r="D22" i="1"/>
  <c r="E22" i="1" s="1"/>
  <c r="D23" i="1"/>
  <c r="E23" i="1" s="1"/>
  <c r="D24" i="1"/>
  <c r="E24" i="1" s="1"/>
  <c r="D25" i="1"/>
  <c r="E25" i="1" s="1"/>
  <c r="D20" i="1"/>
  <c r="E20" i="1" s="1"/>
  <c r="H7" i="1"/>
  <c r="H1" i="2" a="1"/>
  <c r="H1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  <c r="G8" i="1"/>
  <c r="D16" i="1"/>
  <c r="D17" i="1" s="1"/>
  <c r="G15" i="1"/>
  <c r="H15" i="1" s="1"/>
  <c r="G14" i="1"/>
  <c r="H14" i="1" s="1"/>
  <c r="G13" i="1"/>
  <c r="H13" i="1" s="1"/>
  <c r="G12" i="1"/>
  <c r="H12" i="1" s="1"/>
  <c r="G11" i="1"/>
  <c r="H11" i="1" s="1"/>
  <c r="E2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<sst xmlns="http://schemas.openxmlformats.org/spreadsheetml/2006/main" count="78" uniqueCount="49">
  <si>
    <t>Quanto investir por mês? </t>
  </si>
  <si>
    <t>DIO INVEST</t>
  </si>
  <si>
    <t>INVESTIMENTO MENSAL</t>
  </si>
  <si>
    <t>Por Quantos Anos? </t>
  </si>
  <si>
    <t>Taxa de Rendimento Mensal? </t>
  </si>
  <si>
    <t>Patrimônio Acumulado? </t>
  </si>
  <si>
    <t>Dividendos Mensais?</t>
  </si>
  <si>
    <t>Perguntas de Negócio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</si>
  <si>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</si>
  <si>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</si>
  <si>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</si>
  <si>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</si>
  <si>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</si>
  <si>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</si>
  <si>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V. ACUMULADO</t>
  </si>
  <si>
    <t>Rendimento Carteira</t>
  </si>
  <si>
    <t>CONFIGURAÇÕES</t>
  </si>
  <si>
    <t>Salário</t>
  </si>
  <si>
    <t>CENARIOS VARIÁVEIS</t>
  </si>
  <si>
    <t>PERFIL</t>
  </si>
  <si>
    <t>Valor a ser investido p/mês</t>
  </si>
  <si>
    <t>Tipo de FII</t>
  </si>
  <si>
    <t>Valores</t>
  </si>
  <si>
    <t>Papel</t>
  </si>
  <si>
    <t>% Sugerido</t>
  </si>
  <si>
    <t>Tijolo</t>
  </si>
  <si>
    <t>Híbridos</t>
  </si>
  <si>
    <t>Fofs</t>
  </si>
  <si>
    <t>Desenvolvimento</t>
  </si>
  <si>
    <t>Hotelarias</t>
  </si>
  <si>
    <t>Total</t>
  </si>
  <si>
    <t>Perfil</t>
  </si>
  <si>
    <t>Grau</t>
  </si>
  <si>
    <t>CONSERVADOR</t>
  </si>
  <si>
    <t>Conservador</t>
  </si>
  <si>
    <t>Chave</t>
  </si>
  <si>
    <t>%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</si>
  <si>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</si>
  <si>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</si>
  <si>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</si>
  <si>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</si>
  <si>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</si>
  <si>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</si>
  <si>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</si>
  <si>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</si>
  <si>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★★★★★</t>
  </si>
  <si>
    <t>★★★☆☆</t>
  </si>
  <si>
    <t>★☆☆☆☆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</si>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</sst>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Poppins"/>
    </font>
    <font>
      <sz val="11"/>
      <color theme="0"/>
      <name val="Poppins"/>
    </font>
    <font>
      <sz val="10"/>
      <color rgb="FF000000"/>
      <name val="Poppins"/>
    </font>
    <font>
      <b/>
      <sz val="10"/>
      <color theme="0"/>
      <name val="Poppins"/>
    </font>
    <font>
      <b/>
      <sz val="11"/>
      <color theme="0"/>
      <name val="Poppins"/>
    </font>
    <font>
      <b/>
      <sz val="20"/>
      <color theme="0"/>
      <name val="Poppins"/>
    </font>
    <font>
      <sz val="12"/>
      <color theme="0"/>
      <name val="Poppins"/>
    </font>
    <font>
      <sz val="10"/>
      <color theme="1"/>
      <name val="Poppins"/>
    </font>
    <font>
      <b/>
      <sz val="10"/>
      <color rgb="FF002060"/>
      <name val="Poppins"/>
    </font>
    <font>
      <sz val="11"/>
      <color rgb="FF0F0026"/>
      <name val="Poppins"/>
    </font>
    <font>
      <b/>
      <sz val="9"/>
      <color theme="1"/>
      <name val="Poppins"/>
    </font>
    <font>
      <sz val="14"/>
      <color theme="1" tint="4.9989318521683403E-2"/>
      <name val="Poppins"/>
    </font>
  </fonts>
  <fills count="7">
    <fill>
      <patternFill patternType="none"/>
    </fill>
    <fill>
      <patternFill patternType="gray125"/>
    </fill>
    <fill>
      <patternFill patternType="solid">
        <fgColor rgb="FF1801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2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3" xfId="0" applyFont="1" applyBorder="1" applyAlignment="1">
      <alignment vertical="center"/>
    </xf>
    <xf numFmtId="8" fontId="9" fillId="4" borderId="4" xfId="0" applyNumberFormat="1" applyFont="1" applyFill="1" applyBorder="1" applyAlignment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10" fontId="9" fillId="0" borderId="4" xfId="1" applyNumberFormat="1" applyFont="1" applyBorder="1" applyAlignment="1" applyProtection="1">
      <alignment horizontal="center"/>
      <protection locked="0"/>
    </xf>
    <xf numFmtId="164" fontId="9" fillId="0" borderId="2" xfId="0" applyNumberFormat="1" applyFont="1" applyBorder="1" applyAlignment="1" applyProtection="1">
      <alignment horizontal="center" vertical="center"/>
      <protection locked="0"/>
    </xf>
    <xf numFmtId="164" fontId="9" fillId="0" borderId="6" xfId="0" applyNumberFormat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vertical="center"/>
    </xf>
    <xf numFmtId="0" fontId="2" fillId="0" borderId="8" xfId="0" applyFont="1" applyBorder="1"/>
    <xf numFmtId="164" fontId="9" fillId="0" borderId="4" xfId="0" applyNumberFormat="1" applyFont="1" applyBorder="1" applyAlignment="1" applyProtection="1">
      <alignment horizontal="center" vertical="center"/>
      <protection locked="0"/>
    </xf>
    <xf numFmtId="164" fontId="9" fillId="0" borderId="8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/>
    <xf numFmtId="0" fontId="6" fillId="3" borderId="10" xfId="0" applyFont="1" applyFill="1" applyBorder="1" applyAlignment="1">
      <alignment horizontal="center" vertical="center"/>
    </xf>
    <xf numFmtId="164" fontId="9" fillId="4" borderId="9" xfId="0" applyNumberFormat="1" applyFont="1" applyFill="1" applyBorder="1" applyAlignment="1" applyProtection="1">
      <alignment horizontal="center" vertical="center"/>
      <protection locked="0"/>
    </xf>
    <xf numFmtId="10" fontId="9" fillId="4" borderId="9" xfId="1" applyNumberFormat="1" applyFont="1" applyFill="1" applyBorder="1" applyAlignment="1" applyProtection="1">
      <alignment horizontal="center"/>
      <protection locked="0"/>
    </xf>
    <xf numFmtId="0" fontId="10" fillId="4" borderId="3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8" fillId="3" borderId="0" xfId="0" applyFont="1" applyFill="1" applyBorder="1" applyAlignment="1">
      <alignment horizontal="right" vertical="center"/>
    </xf>
    <xf numFmtId="0" fontId="3" fillId="3" borderId="0" xfId="0" applyFont="1" applyFill="1" applyBorder="1"/>
    <xf numFmtId="0" fontId="4" fillId="0" borderId="0" xfId="0" applyFont="1" applyBorder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6" fillId="3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" fillId="5" borderId="0" xfId="0" applyFont="1" applyFill="1"/>
    <xf numFmtId="0" fontId="2" fillId="4" borderId="0" xfId="0" applyFont="1" applyFill="1" applyBorder="1"/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6" borderId="0" xfId="0" applyFont="1" applyFill="1" applyBorder="1"/>
    <xf numFmtId="0" fontId="2" fillId="6" borderId="16" xfId="0" applyFont="1" applyFill="1" applyBorder="1"/>
    <xf numFmtId="0" fontId="2" fillId="6" borderId="17" xfId="0" applyFont="1" applyFill="1" applyBorder="1"/>
    <xf numFmtId="0" fontId="2" fillId="6" borderId="18" xfId="0" applyFont="1" applyFill="1" applyBorder="1"/>
    <xf numFmtId="0" fontId="2" fillId="6" borderId="0" xfId="0" applyFont="1" applyFill="1"/>
    <xf numFmtId="0" fontId="11" fillId="6" borderId="0" xfId="0" applyFont="1" applyFill="1"/>
    <xf numFmtId="9" fontId="9" fillId="0" borderId="9" xfId="1" applyFont="1" applyBorder="1" applyAlignment="1">
      <alignment horizontal="center"/>
    </xf>
    <xf numFmtId="164" fontId="9" fillId="0" borderId="9" xfId="0" applyNumberFormat="1" applyFont="1" applyBorder="1"/>
    <xf numFmtId="0" fontId="2" fillId="6" borderId="9" xfId="0" applyFont="1" applyFill="1" applyBorder="1"/>
    <xf numFmtId="0" fontId="7" fillId="2" borderId="0" xfId="0" applyFont="1" applyFill="1" applyBorder="1" applyAlignment="1">
      <alignment horizontal="center" vertical="top"/>
    </xf>
    <xf numFmtId="0" fontId="2" fillId="6" borderId="19" xfId="0" applyFont="1" applyFill="1" applyBorder="1"/>
    <xf numFmtId="0" fontId="2" fillId="6" borderId="20" xfId="0" applyFont="1" applyFill="1" applyBorder="1" applyAlignment="1">
      <alignment horizontal="right"/>
    </xf>
    <xf numFmtId="0" fontId="2" fillId="6" borderId="21" xfId="0" applyFont="1" applyFill="1" applyBorder="1" applyAlignment="1">
      <alignment horizontal="right"/>
    </xf>
    <xf numFmtId="164" fontId="12" fillId="0" borderId="9" xfId="0" applyNumberFormat="1" applyFont="1" applyBorder="1"/>
    <xf numFmtId="9" fontId="0" fillId="0" borderId="0" xfId="1" applyFont="1"/>
    <xf numFmtId="0" fontId="13" fillId="6" borderId="22" xfId="0" applyFont="1" applyFill="1" applyBorder="1" applyAlignment="1">
      <alignment horizontal="center"/>
    </xf>
    <xf numFmtId="0" fontId="13" fillId="6" borderId="23" xfId="0" applyFont="1" applyFill="1" applyBorder="1" applyAlignment="1">
      <alignment horizontal="center"/>
    </xf>
    <xf numFmtId="0" fontId="2" fillId="6" borderId="14" xfId="0" applyFont="1" applyFill="1" applyBorder="1"/>
    <xf numFmtId="0" fontId="6" fillId="3" borderId="0" xfId="0" applyFont="1" applyFill="1" applyBorder="1" applyAlignment="1">
      <alignment horizontal="center"/>
    </xf>
    <xf numFmtId="0" fontId="2" fillId="6" borderId="15" xfId="0" applyFont="1" applyFill="1" applyBorder="1"/>
    <xf numFmtId="164" fontId="9" fillId="4" borderId="0" xfId="0" applyNumberFormat="1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9">
    <dxf>
      <fill>
        <patternFill>
          <bgColor rgb="FFFF898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FFF9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F898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FFF9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FFF9B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F898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colors>
    <mruColors>
      <color rgb="FF180179"/>
      <color rgb="FFFFFF9B"/>
      <color rgb="FFFFFFC5"/>
      <color rgb="FFFF8989"/>
      <color rgb="FF000022"/>
      <color rgb="FF0F0026"/>
      <color rgb="FF0000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MONTANTE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Painel!$G$10</c:f>
              <c:strCache>
                <c:ptCount val="1"/>
                <c:pt idx="0">
                  <c:v>V. ACUMULADO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rgbClr val="0F002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Painel!$G$11:$G$15</c:f>
              <c:numCache>
                <c:formatCode>"R$"\ #,##0.00</c:formatCode>
                <c:ptCount val="5"/>
                <c:pt idx="0">
                  <c:v>13615.431830290796</c:v>
                </c:pt>
                <c:pt idx="1">
                  <c:v>41902.00967962922</c:v>
                </c:pt>
                <c:pt idx="2">
                  <c:v>121728.83312740005</c:v>
                </c:pt>
                <c:pt idx="3">
                  <c:v>563524.49664926168</c:v>
                </c:pt>
                <c:pt idx="4">
                  <c:v>2166952.4051583759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AE-488C-A8CB-BD8E851C1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213807"/>
        <c:axId val="910221967"/>
      </c:scatterChart>
      <c:valAx>
        <c:axId val="9102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0221967"/>
        <c:crosses val="autoZero"/>
        <c:crossBetween val="midCat"/>
      </c:valAx>
      <c:valAx>
        <c:axId val="91022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021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308264</xdr:colOff>
      <xdr:row>2</xdr:row>
      <xdr:rowOff>91786</xdr:rowOff>
    </xdr:from>
    <xdr:to>
      <xdr:col>7</xdr:col>
      <xdr:colOff>660689</xdr:colOff>
      <xdr:row>3</xdr:row>
      <xdr:rowOff>167986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44CC48-7673-CBDB-6B10-2D47F4CB7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9264" y="445572"/>
          <a:ext cx="352425" cy="348343"/>
        </a:xfrm>
        <a:prstGeom prst="rect">
          <a:avLst/>
        </a:prstGeom>
      </xdr:spPr>
    </xdr:pic>
    <xdr:clientData/>
  </xdr:twoCellAnchor>
  <xdr:twoCellAnchor editAs="oneCell">
    <xdr:from>
      <xdr:col>1</xdr:col>
      <xdr:colOff>604558</xdr:colOff>
      <xdr:row>3</xdr:row>
      <xdr:rowOff>273424</xdr:rowOff>
    </xdr:from>
    <xdr:to>
      <xdr:col>2</xdr:col>
      <xdr:colOff>313205</xdr:colOff>
      <xdr:row>5</xdr:row>
      <xdr:rowOff>10646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B91B729-E000-4819-301D-364AE71A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04558" y="833718"/>
          <a:ext cx="304800" cy="308722"/>
        </a:xfrm>
        <a:prstGeom prst="rect">
          <a:avLst/>
        </a:prstGeom>
      </xdr:spPr>
    </xdr:pic>
    <xdr:clientData/>
  </xdr:twoCellAnchor>
  <xdr:twoCellAnchor editAs="oneCell">
    <xdr:from>
      <xdr:col>2</xdr:col>
      <xdr:colOff>84744</xdr:colOff>
      <xdr:row>6</xdr:row>
      <xdr:rowOff>54582</xdr:rowOff>
    </xdr:from>
    <xdr:to>
      <xdr:col>2</xdr:col>
      <xdr:colOff>333835</xdr:colOff>
      <xdr:row>6</xdr:row>
      <xdr:rowOff>303673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2A404FA-508F-97B9-9734-FE0C8814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923" y="3565225"/>
          <a:ext cx="249091" cy="249091"/>
        </a:xfrm>
        <a:prstGeom prst="rect">
          <a:avLst/>
        </a:prstGeom>
      </xdr:spPr>
    </xdr:pic>
    <xdr:clientData/>
  </xdr:twoCellAnchor>
  <xdr:twoCellAnchor>
    <xdr:from>
      <xdr:col>5</xdr:col>
      <xdr:colOff>329047</xdr:colOff>
      <xdr:row>16</xdr:row>
      <xdr:rowOff>65808</xdr:rowOff>
    </xdr:from>
    <xdr:to>
      <xdr:col>8</xdr:col>
      <xdr:colOff>259774</xdr:colOff>
      <xdr:row>26</xdr:row>
      <xdr:rowOff>20781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ED39CF2-529B-2FE9-777D-5434D06A5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6ADF-3E43-4AEA-9A8A-53629E27FFF2}">
  <dimension ref="A1:L26"/>
  <sheetViews>
    <sheetView showGridLines="0" tabSelected="1" zoomScale="85" zoomScaleNormal="85" workbookViewId="0">
      <selection activeCell="L6" sqref="L6"/>
    </sheetView>
  </sheetViews>
  <sheetFormatPr defaultColWidth="0" defaultRowHeight="21.75" x14ac:dyDescent="0.6"/>
  <cols>
    <col min="1" max="1" width="9.140625" style="38" customWidth="1"/>
    <col min="2" max="2" width="1.5703125" style="37" customWidth="1"/>
    <col min="3" max="3" width="31.85546875" style="37" customWidth="1"/>
    <col min="4" max="4" width="16" style="37" customWidth="1"/>
    <col min="5" max="5" width="11.28515625" style="37" bestFit="1" customWidth="1"/>
    <col min="6" max="6" width="31.42578125" style="37" bestFit="1" customWidth="1"/>
    <col min="7" max="7" width="19.140625" style="37" customWidth="1"/>
    <col min="8" max="8" width="14.140625" style="37" bestFit="1" customWidth="1"/>
    <col min="9" max="9" width="4.42578125" style="37" customWidth="1"/>
    <col min="10" max="10" width="2.28515625" style="37" customWidth="1"/>
    <col min="11" max="12" width="9.140625" style="37" customWidth="1"/>
    <col min="13" max="16384" width="9.140625" style="37" hidden="1"/>
  </cols>
  <sheetData>
    <row r="1" spans="1:12" s="29" customFormat="1" ht="22.5" thickBot="1" x14ac:dyDescent="0.65">
      <c r="A1" s="38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s="29" customFormat="1" ht="5.25" customHeight="1" x14ac:dyDescent="0.6">
      <c r="A2" s="38"/>
      <c r="B2" s="17"/>
      <c r="C2" s="18"/>
      <c r="D2" s="18"/>
      <c r="E2" s="18"/>
      <c r="F2" s="18"/>
      <c r="G2" s="18"/>
      <c r="H2" s="18"/>
      <c r="I2" s="18"/>
      <c r="J2" s="19"/>
      <c r="K2" s="37"/>
      <c r="L2" s="37"/>
    </row>
    <row r="3" spans="1:12" s="29" customFormat="1" ht="21.75" customHeight="1" x14ac:dyDescent="0.6">
      <c r="A3" s="38"/>
      <c r="B3" s="20"/>
      <c r="C3" s="42" t="s">
        <v>1</v>
      </c>
      <c r="D3" s="42"/>
      <c r="E3" s="42"/>
      <c r="F3" s="42"/>
      <c r="G3" s="42"/>
      <c r="H3" s="42"/>
      <c r="I3" s="42"/>
      <c r="J3" s="21"/>
      <c r="K3" s="37"/>
      <c r="L3" s="37"/>
    </row>
    <row r="4" spans="1:12" s="29" customFormat="1" ht="21.75" customHeight="1" x14ac:dyDescent="0.6">
      <c r="A4" s="38"/>
      <c r="B4" s="20"/>
      <c r="C4" s="42"/>
      <c r="D4" s="42"/>
      <c r="E4" s="42"/>
      <c r="F4" s="42"/>
      <c r="G4" s="42"/>
      <c r="H4" s="42"/>
      <c r="I4" s="42"/>
      <c r="J4" s="21"/>
      <c r="K4" s="37"/>
      <c r="L4" s="37"/>
    </row>
    <row r="5" spans="1:12" s="29" customFormat="1" ht="23.25" x14ac:dyDescent="0.6">
      <c r="A5" s="38"/>
      <c r="B5" s="20"/>
      <c r="C5" s="22" t="s">
        <v>7</v>
      </c>
      <c r="D5" s="23"/>
      <c r="E5" s="23"/>
      <c r="F5" s="23"/>
      <c r="G5" s="23"/>
      <c r="H5" s="23"/>
      <c r="I5" s="23"/>
      <c r="J5" s="21"/>
      <c r="K5" s="37"/>
      <c r="L5" s="37"/>
    </row>
    <row r="6" spans="1:12" s="29" customFormat="1" x14ac:dyDescent="0.6">
      <c r="A6" s="38"/>
      <c r="B6" s="20"/>
      <c r="C6" s="24"/>
      <c r="D6" s="25"/>
      <c r="E6" s="25"/>
      <c r="F6" s="25"/>
      <c r="G6" s="25"/>
      <c r="H6" s="25"/>
      <c r="I6" s="25"/>
      <c r="J6" s="21"/>
      <c r="K6" s="37"/>
      <c r="L6" s="37"/>
    </row>
    <row r="7" spans="1:12" s="29" customFormat="1" ht="27.75" customHeight="1" x14ac:dyDescent="0.8">
      <c r="A7" s="38"/>
      <c r="B7" s="20"/>
      <c r="C7" s="12" t="s">
        <v>16</v>
      </c>
      <c r="D7" s="12"/>
      <c r="E7" s="26"/>
      <c r="F7" s="27" t="s">
        <v>19</v>
      </c>
      <c r="G7" s="28" t="s">
        <v>33</v>
      </c>
      <c r="H7" s="48" t="str">
        <f>_xlfn.XLOOKUP(G7,tbl_apoio!H:H,tbl_apoio!I:I)</f>
        <v>★☆☆☆☆</v>
      </c>
      <c r="I7" s="49"/>
      <c r="J7" s="21"/>
      <c r="K7" s="37"/>
      <c r="L7" s="37"/>
    </row>
    <row r="8" spans="1:12" s="29" customFormat="1" x14ac:dyDescent="0.6">
      <c r="A8" s="38"/>
      <c r="B8" s="20"/>
      <c r="C8" s="15" t="s">
        <v>17</v>
      </c>
      <c r="D8" s="13">
        <v>5000</v>
      </c>
      <c r="E8" s="25"/>
      <c r="F8" s="30" t="s">
        <v>20</v>
      </c>
      <c r="G8" s="53">
        <f>aporte</f>
        <v>500</v>
      </c>
      <c r="H8" s="54" t="s">
        <v>32</v>
      </c>
      <c r="I8" s="54"/>
      <c r="J8" s="21"/>
      <c r="K8" s="37"/>
      <c r="L8" s="37"/>
    </row>
    <row r="9" spans="1:12" s="29" customFormat="1" x14ac:dyDescent="0.6">
      <c r="A9" s="38"/>
      <c r="B9" s="20"/>
      <c r="C9" s="16" t="s">
        <v>15</v>
      </c>
      <c r="D9" s="14">
        <v>0.01</v>
      </c>
      <c r="E9" s="33"/>
      <c r="F9" s="37"/>
      <c r="G9" s="37"/>
      <c r="H9" s="37"/>
      <c r="I9" s="37"/>
      <c r="J9" s="52"/>
      <c r="K9" s="37"/>
      <c r="L9" s="37"/>
    </row>
    <row r="10" spans="1:12" s="29" customFormat="1" x14ac:dyDescent="0.6">
      <c r="A10" s="38"/>
      <c r="B10" s="20"/>
      <c r="C10" s="15" t="s">
        <v>48</v>
      </c>
      <c r="D10" s="13">
        <f>D8*30%</f>
        <v>1500</v>
      </c>
      <c r="E10" s="25"/>
      <c r="F10" s="27" t="s">
        <v>18</v>
      </c>
      <c r="G10" s="28" t="s">
        <v>14</v>
      </c>
      <c r="H10" s="28" t="s">
        <v>13</v>
      </c>
      <c r="I10" s="28"/>
      <c r="J10" s="21"/>
      <c r="K10" s="37"/>
      <c r="L10" s="37"/>
    </row>
    <row r="11" spans="1:12" s="29" customFormat="1" x14ac:dyDescent="0.6">
      <c r="A11" s="38"/>
      <c r="B11" s="50"/>
      <c r="C11" s="37"/>
      <c r="D11" s="37"/>
      <c r="E11" s="25"/>
      <c r="F11" s="31" t="s">
        <v>8</v>
      </c>
      <c r="G11" s="9">
        <f>FV(taxa_mensal,2*12,aporte*-1)</f>
        <v>13615.431830290796</v>
      </c>
      <c r="H11" s="10">
        <f>G11*rendimento_carteira</f>
        <v>136.15431830290797</v>
      </c>
      <c r="I11" s="8"/>
      <c r="J11" s="21"/>
      <c r="K11" s="37"/>
      <c r="L11" s="37"/>
    </row>
    <row r="12" spans="1:12" s="29" customFormat="1" x14ac:dyDescent="0.6">
      <c r="A12" s="38"/>
      <c r="B12" s="20"/>
      <c r="C12" s="51" t="s">
        <v>2</v>
      </c>
      <c r="D12" s="51"/>
      <c r="E12" s="25"/>
      <c r="F12" s="32" t="s">
        <v>9</v>
      </c>
      <c r="G12" s="5">
        <f>FV(taxa_mensal,5*12,aporte*-1)</f>
        <v>41902.00967962922</v>
      </c>
      <c r="H12" s="10">
        <f>G12*rendimento_carteira</f>
        <v>419.02009679629219</v>
      </c>
      <c r="I12" s="8"/>
      <c r="J12" s="21"/>
      <c r="K12" s="37"/>
      <c r="L12" s="37"/>
    </row>
    <row r="13" spans="1:12" s="29" customFormat="1" x14ac:dyDescent="0.6">
      <c r="A13" s="38"/>
      <c r="B13" s="20"/>
      <c r="C13" s="7" t="s">
        <v>0</v>
      </c>
      <c r="D13" s="6">
        <v>500</v>
      </c>
      <c r="E13" s="25"/>
      <c r="F13" s="32" t="s">
        <v>10</v>
      </c>
      <c r="G13" s="5">
        <f>FV(taxa_mensal,10*12,aporte*-1)</f>
        <v>121728.83312740005</v>
      </c>
      <c r="H13" s="10">
        <f>G13*rendimento_carteira</f>
        <v>1217.2883312740005</v>
      </c>
      <c r="I13" s="8"/>
      <c r="J13" s="21"/>
      <c r="K13" s="37"/>
      <c r="L13" s="37"/>
    </row>
    <row r="14" spans="1:12" s="29" customFormat="1" ht="28.5" customHeight="1" x14ac:dyDescent="0.6">
      <c r="A14" s="38"/>
      <c r="B14" s="20"/>
      <c r="C14" s="1" t="s">
        <v>3</v>
      </c>
      <c r="D14" s="3">
        <v>1</v>
      </c>
      <c r="E14" s="25"/>
      <c r="F14" s="32" t="s">
        <v>11</v>
      </c>
      <c r="G14" s="5">
        <f>FV(taxa_mensal,20*12,aporte*-1)</f>
        <v>563524.49664926168</v>
      </c>
      <c r="H14" s="10">
        <f>G14*rendimento_carteira</f>
        <v>5635.2449664926171</v>
      </c>
      <c r="I14" s="8"/>
      <c r="J14" s="21"/>
      <c r="K14" s="37"/>
      <c r="L14" s="37"/>
    </row>
    <row r="15" spans="1:12" s="29" customFormat="1" x14ac:dyDescent="0.6">
      <c r="A15" s="38"/>
      <c r="B15" s="20"/>
      <c r="C15" s="1" t="s">
        <v>4</v>
      </c>
      <c r="D15" s="4">
        <v>1.0800000000000001E-2</v>
      </c>
      <c r="E15" s="25"/>
      <c r="F15" s="32" t="s">
        <v>12</v>
      </c>
      <c r="G15" s="5">
        <f>FV(taxa_mensal,30*12,aporte*-1)</f>
        <v>2166952.4051583759</v>
      </c>
      <c r="H15" s="10">
        <f>G15*rendimento_carteira</f>
        <v>21669.524051583758</v>
      </c>
      <c r="I15" s="8"/>
      <c r="J15" s="21"/>
      <c r="K15" s="37"/>
      <c r="L15" s="37"/>
    </row>
    <row r="16" spans="1:12" s="29" customFormat="1" x14ac:dyDescent="0.6">
      <c r="A16" s="38"/>
      <c r="B16" s="20"/>
      <c r="C16" s="15" t="s">
        <v>5</v>
      </c>
      <c r="D16" s="2">
        <f>FV(taxa_mensal,qntd_anos*12,aporte*-1)</f>
        <v>6369.5476347718186</v>
      </c>
      <c r="E16" s="25"/>
      <c r="F16" s="25"/>
      <c r="G16" s="25"/>
      <c r="H16" s="25"/>
      <c r="I16" s="25"/>
      <c r="J16" s="21"/>
      <c r="K16" s="37"/>
      <c r="L16" s="37"/>
    </row>
    <row r="17" spans="1:12" s="29" customFormat="1" x14ac:dyDescent="0.6">
      <c r="A17" s="38"/>
      <c r="B17" s="20"/>
      <c r="C17" s="16" t="s">
        <v>6</v>
      </c>
      <c r="D17" s="2">
        <f>patrimonio*1%</f>
        <v>63.695476347718184</v>
      </c>
      <c r="E17" s="25"/>
      <c r="F17" s="25"/>
      <c r="G17" s="25"/>
      <c r="H17" s="25"/>
      <c r="I17" s="25"/>
      <c r="J17" s="21"/>
      <c r="K17" s="37"/>
      <c r="L17" s="37"/>
    </row>
    <row r="18" spans="1:12" s="29" customFormat="1" ht="22.5" thickBot="1" x14ac:dyDescent="0.65">
      <c r="A18" s="38"/>
      <c r="B18" s="34"/>
      <c r="C18" s="35"/>
      <c r="D18" s="35"/>
      <c r="E18" s="35"/>
      <c r="F18" s="35"/>
      <c r="G18" s="35"/>
      <c r="H18" s="35"/>
      <c r="I18" s="35"/>
      <c r="J18" s="36"/>
      <c r="K18" s="37"/>
      <c r="L18" s="37"/>
    </row>
    <row r="19" spans="1:12" x14ac:dyDescent="0.6">
      <c r="C19" s="28" t="s">
        <v>21</v>
      </c>
      <c r="D19" s="28" t="s">
        <v>24</v>
      </c>
      <c r="E19" s="28" t="s">
        <v>22</v>
      </c>
    </row>
    <row r="20" spans="1:12" x14ac:dyDescent="0.6">
      <c r="C20" s="11" t="s">
        <v>23</v>
      </c>
      <c r="D20" s="39">
        <f>_xlfn.XLOOKUP(perfil&amp;C20,tbl_apoio!A:A,tbl_apoio!D:D)</f>
        <v>0.3</v>
      </c>
      <c r="E20" s="40">
        <f>aporte*D20</f>
        <v>150</v>
      </c>
    </row>
    <row r="21" spans="1:12" x14ac:dyDescent="0.6">
      <c r="C21" s="41" t="s">
        <v>25</v>
      </c>
      <c r="D21" s="39">
        <f>_xlfn.XLOOKUP(perfil&amp;C21,tbl_apoio!A:A,tbl_apoio!D:D)</f>
        <v>0.5</v>
      </c>
      <c r="E21" s="40">
        <f>aporte*D21</f>
        <v>250</v>
      </c>
    </row>
    <row r="22" spans="1:12" x14ac:dyDescent="0.6">
      <c r="C22" s="41" t="s">
        <v>26</v>
      </c>
      <c r="D22" s="39">
        <f>_xlfn.XLOOKUP(perfil&amp;C22,tbl_apoio!A:A,tbl_apoio!D:D)</f>
        <v>0.1</v>
      </c>
      <c r="E22" s="40">
        <f>aporte*D22</f>
        <v>50</v>
      </c>
    </row>
    <row r="23" spans="1:12" x14ac:dyDescent="0.6">
      <c r="C23" s="41" t="s">
        <v>27</v>
      </c>
      <c r="D23" s="39">
        <f>_xlfn.XLOOKUP(perfil&amp;C23,tbl_apoio!A:A,tbl_apoio!D:D)</f>
        <v>0.1</v>
      </c>
      <c r="E23" s="40">
        <f>aporte*D23</f>
        <v>50</v>
      </c>
    </row>
    <row r="24" spans="1:12" x14ac:dyDescent="0.6">
      <c r="C24" s="41" t="s">
        <v>28</v>
      </c>
      <c r="D24" s="39">
        <f>_xlfn.XLOOKUP(perfil&amp;C24,tbl_apoio!A:A,tbl_apoio!D:D)</f>
        <v>0</v>
      </c>
      <c r="E24" s="40">
        <f>aporte*D24</f>
        <v>0</v>
      </c>
    </row>
    <row r="25" spans="1:12" x14ac:dyDescent="0.6">
      <c r="C25" s="43" t="s">
        <v>29</v>
      </c>
      <c r="D25" s="39">
        <f>_xlfn.XLOOKUP(perfil&amp;C25,tbl_apoio!A:A,tbl_apoio!D:D)</f>
        <v>0</v>
      </c>
      <c r="E25" s="40">
        <f>aporte*D25</f>
        <v>0</v>
      </c>
    </row>
    <row r="26" spans="1:12" x14ac:dyDescent="0.6">
      <c r="C26" s="44" t="s">
        <v>30</v>
      </c>
      <c r="D26" s="45"/>
      <c r="E26" s="46">
        <f>SUM(E20:E25)</f>
        <v>500</v>
      </c>
    </row>
  </sheetData>
  <mergeCells count="6">
    <mergeCell ref="C26:D26"/>
    <mergeCell ref="H7:I7"/>
    <mergeCell ref="H8:I8"/>
    <mergeCell ref="C12:D12"/>
    <mergeCell ref="C3:I4"/>
    <mergeCell ref="C7:D7"/>
  </mergeCells>
  <conditionalFormatting sqref="H7">
    <cfRule type="expression" dxfId="2" priority="1">
      <formula>$G$7="Moderado"</formula>
    </cfRule>
    <cfRule type="expression" dxfId="1" priority="2">
      <formula>$G$7="Conservador"</formula>
    </cfRule>
    <cfRule type="expression" dxfId="0" priority="3">
      <formula>$G$7="AGRESSIVO"</formula>
    </cfRule>
  </conditionalFormatting>
  <dataValidations count="1">
    <dataValidation type="list" allowBlank="1" showInputMessage="1" showErrorMessage="1" sqref="G7" xr:uid="{62BFDE28-57C8-44A1-BB69-2011CFEE12C4}">
      <formula1>"AGRESSIVO,MODERADO,CONSERVADOR"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D10 G11:H15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2A7F6AEE-192A-4AF4-8740-66C6365624EC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span" negative="1" xr2:uid="{B937503E-5ABF-4F9A-9ADB-4108C2C7DC8C}">
          <x14:colorSeries rgb="FF00206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Painel!H11:H11</xm:f>
              <xm:sqref>I11</xm:sqref>
            </x14:sparkline>
            <x14:sparkline>
              <xm:f>Painel!H12:H12</xm:f>
              <xm:sqref>I12</xm:sqref>
            </x14:sparkline>
            <x14:sparkline>
              <xm:f>Painel!H13:H13</xm:f>
              <xm:sqref>I13</xm:sqref>
            </x14:sparkline>
            <x14:sparkline>
              <xm:f>Painel!H14:H14</xm:f>
              <xm:sqref>I14</xm:sqref>
            </x14:sparkline>
            <x14:sparkline>
              <xm:f>Painel!H15:H15</xm:f>
              <xm:sqref>I15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D73D-AFDE-4B1B-9781-BEC75C5C54A7}">
  <dimension ref="A1:I30"/>
  <sheetViews>
    <sheetView showGridLines="0" topLeftCell="B1" workbookViewId="0">
      <selection activeCell="L9" sqref="L9"/>
    </sheetView>
  </sheetViews>
  <sheetFormatPr defaultRowHeight="15" x14ac:dyDescent="0.25"/>
  <cols>
    <col min="1" max="1" width="30.140625" bestFit="1" customWidth="1"/>
    <col min="2" max="2" width="12.140625" bestFit="1" customWidth="1"/>
    <col min="3" max="3" width="18.5703125" bestFit="1" customWidth="1"/>
    <col min="4" max="4" width="6.42578125" style="47" customWidth="1"/>
    <col min="8" max="8" width="12.140625" bestFit="1" customWidth="1"/>
    <col min="9" max="9" width="10.28515625" bestFit="1" customWidth="1"/>
  </cols>
  <sheetData>
    <row r="1" spans="1:9" x14ac:dyDescent="0.25">
      <c r="A1" t="s">
        <v>35</v>
      </c>
      <c r="B1" t="s">
        <v>31</v>
      </c>
      <c r="C1" t="s">
        <v>21</v>
      </c>
      <c r="D1" t="s">
        <v>36</v>
      </c>
      <c r="H1" t="str" cm="1">
        <f t="array" ref="H1:H5">_xlfn.UNIQUE(B:B)</f>
        <v>Perfil</v>
      </c>
      <c r="I1" t="s">
        <v>32</v>
      </c>
    </row>
    <row r="2" spans="1:9" x14ac:dyDescent="0.25">
      <c r="A2" t="str">
        <f>B2&amp;C2</f>
        <v>ConservadorPAPEL</v>
      </c>
      <c r="B2" t="s">
        <v>34</v>
      </c>
      <c r="C2" t="s">
        <v>37</v>
      </c>
      <c r="D2" s="47">
        <v>0.3</v>
      </c>
      <c r="H2" t="str">
        <v>Conservador</v>
      </c>
      <c r="I2" t="s">
        <v>47</v>
      </c>
    </row>
    <row r="3" spans="1:9" x14ac:dyDescent="0.25">
      <c r="A3" t="str">
        <f t="shared" ref="A3:A19" si="0">B3&amp;C3</f>
        <v>ConservadorTIJOLO</v>
      </c>
      <c r="B3" t="s">
        <v>34</v>
      </c>
      <c r="C3" t="s">
        <v>38</v>
      </c>
      <c r="D3" s="47">
        <v>0.5</v>
      </c>
      <c r="H3" t="str">
        <v>Moderado</v>
      </c>
      <c r="I3" t="s">
        <v>46</v>
      </c>
    </row>
    <row r="4" spans="1:9" x14ac:dyDescent="0.25">
      <c r="A4" t="str">
        <f t="shared" si="0"/>
        <v>ConservadorHÍBRIDOS</v>
      </c>
      <c r="B4" t="s">
        <v>34</v>
      </c>
      <c r="C4" t="s">
        <v>39</v>
      </c>
      <c r="D4" s="47">
        <v>0.1</v>
      </c>
      <c r="H4" t="str">
        <v>Agressivo</v>
      </c>
      <c r="I4" t="s">
        <v>45</v>
      </c>
    </row>
    <row r="5" spans="1:9" x14ac:dyDescent="0.25">
      <c r="A5" t="str">
        <f t="shared" si="0"/>
        <v>ConservadorFOFs</v>
      </c>
      <c r="B5" t="s">
        <v>34</v>
      </c>
      <c r="C5" t="s">
        <v>40</v>
      </c>
      <c r="D5" s="47">
        <v>0.1</v>
      </c>
      <c r="H5">
        <v>0</v>
      </c>
    </row>
    <row r="6" spans="1:9" x14ac:dyDescent="0.25">
      <c r="A6" t="str">
        <f t="shared" si="0"/>
        <v>ConservadorDESENVOLVIMENTO</v>
      </c>
      <c r="B6" t="s">
        <v>34</v>
      </c>
      <c r="C6" t="s">
        <v>41</v>
      </c>
      <c r="D6" s="47">
        <v>0</v>
      </c>
    </row>
    <row r="7" spans="1:9" x14ac:dyDescent="0.25">
      <c r="A7" t="str">
        <f t="shared" si="0"/>
        <v>ConservadorHOTELARIAS</v>
      </c>
      <c r="B7" t="s">
        <v>34</v>
      </c>
      <c r="C7" t="s">
        <v>42</v>
      </c>
      <c r="D7" s="47">
        <v>0</v>
      </c>
    </row>
    <row r="8" spans="1:9" x14ac:dyDescent="0.25">
      <c r="A8" t="str">
        <f t="shared" si="0"/>
        <v>ModeradoPAPEL</v>
      </c>
      <c r="B8" t="s">
        <v>43</v>
      </c>
      <c r="C8" t="s">
        <v>37</v>
      </c>
      <c r="D8" s="47">
        <v>0.32</v>
      </c>
    </row>
    <row r="9" spans="1:9" x14ac:dyDescent="0.25">
      <c r="A9" t="str">
        <f t="shared" si="0"/>
        <v>ModeradoTIJOLO</v>
      </c>
      <c r="B9" t="s">
        <v>43</v>
      </c>
      <c r="C9" t="s">
        <v>38</v>
      </c>
      <c r="D9" s="47">
        <v>0.35</v>
      </c>
    </row>
    <row r="10" spans="1:9" x14ac:dyDescent="0.25">
      <c r="A10" t="str">
        <f t="shared" si="0"/>
        <v>ModeradoHÍBRIDOS</v>
      </c>
      <c r="B10" t="s">
        <v>43</v>
      </c>
      <c r="C10" t="s">
        <v>39</v>
      </c>
      <c r="D10" s="47">
        <v>0.08</v>
      </c>
    </row>
    <row r="11" spans="1:9" x14ac:dyDescent="0.25">
      <c r="A11" t="str">
        <f t="shared" si="0"/>
        <v>ModeradoFOFs</v>
      </c>
      <c r="B11" t="s">
        <v>43</v>
      </c>
      <c r="C11" t="s">
        <v>40</v>
      </c>
      <c r="D11" s="47">
        <v>0.05</v>
      </c>
    </row>
    <row r="12" spans="1:9" x14ac:dyDescent="0.25">
      <c r="A12" t="str">
        <f t="shared" si="0"/>
        <v>ModeradoDESENVOLVIMENTO</v>
      </c>
      <c r="B12" t="s">
        <v>43</v>
      </c>
      <c r="C12" t="s">
        <v>41</v>
      </c>
      <c r="D12" s="47">
        <v>0.1</v>
      </c>
    </row>
    <row r="13" spans="1:9" x14ac:dyDescent="0.25">
      <c r="A13" t="str">
        <f t="shared" si="0"/>
        <v>ModeradoHOTELARIAS</v>
      </c>
      <c r="B13" t="s">
        <v>43</v>
      </c>
      <c r="C13" t="s">
        <v>42</v>
      </c>
      <c r="D13" s="47">
        <v>0.1</v>
      </c>
    </row>
    <row r="14" spans="1:9" x14ac:dyDescent="0.25">
      <c r="A14" t="str">
        <f t="shared" si="0"/>
        <v>AgressivoPAPEL</v>
      </c>
      <c r="B14" t="s">
        <v>44</v>
      </c>
      <c r="C14" t="s">
        <v>37</v>
      </c>
      <c r="D14" s="47">
        <v>0.5</v>
      </c>
    </row>
    <row r="15" spans="1:9" x14ac:dyDescent="0.25">
      <c r="A15" t="str">
        <f t="shared" si="0"/>
        <v>AgressivoTIJOLO</v>
      </c>
      <c r="B15" t="s">
        <v>44</v>
      </c>
      <c r="C15" t="s">
        <v>38</v>
      </c>
      <c r="D15" s="47">
        <v>0.1</v>
      </c>
    </row>
    <row r="16" spans="1:9" x14ac:dyDescent="0.25">
      <c r="A16" t="str">
        <f t="shared" si="0"/>
        <v>AgressivoHÍBRIDOS</v>
      </c>
      <c r="B16" t="s">
        <v>44</v>
      </c>
      <c r="C16" t="s">
        <v>39</v>
      </c>
      <c r="D16" s="47">
        <v>0.05</v>
      </c>
    </row>
    <row r="17" spans="1:4" x14ac:dyDescent="0.25">
      <c r="A17" t="str">
        <f t="shared" si="0"/>
        <v>AgressivoFOFs</v>
      </c>
      <c r="B17" t="s">
        <v>44</v>
      </c>
      <c r="C17" t="s">
        <v>40</v>
      </c>
      <c r="D17" s="47">
        <v>0.05</v>
      </c>
    </row>
    <row r="18" spans="1:4" x14ac:dyDescent="0.25">
      <c r="A18" t="str">
        <f t="shared" si="0"/>
        <v>AgressivoDESENVOLVIMENTO</v>
      </c>
      <c r="B18" t="s">
        <v>44</v>
      </c>
      <c r="C18" t="s">
        <v>41</v>
      </c>
      <c r="D18" s="47">
        <v>0.2</v>
      </c>
    </row>
    <row r="19" spans="1:4" x14ac:dyDescent="0.25">
      <c r="A19" t="str">
        <f t="shared" si="0"/>
        <v>AgressivoHOTELARIAS</v>
      </c>
      <c r="B19" t="s">
        <v>44</v>
      </c>
      <c r="C19" t="s">
        <v>42</v>
      </c>
      <c r="D19" s="47">
        <v>0.1</v>
      </c>
    </row>
    <row r="20" spans="1:4" x14ac:dyDescent="0.25">
      <c r="D20"/>
    </row>
    <row r="21" spans="1:4" x14ac:dyDescent="0.25">
      <c r="D21"/>
    </row>
    <row r="22" spans="1:4" x14ac:dyDescent="0.25">
      <c r="D22"/>
    </row>
    <row r="23" spans="1:4" x14ac:dyDescent="0.25">
      <c r="D23"/>
    </row>
    <row r="24" spans="1:4" x14ac:dyDescent="0.25">
      <c r="D24"/>
    </row>
    <row r="25" spans="1:4" x14ac:dyDescent="0.25">
      <c r="D25"/>
    </row>
    <row r="26" spans="1:4" x14ac:dyDescent="0.25">
      <c r="D26"/>
    </row>
    <row r="27" spans="1:4" x14ac:dyDescent="0.25">
      <c r="D27"/>
    </row>
    <row r="28" spans="1:4" x14ac:dyDescent="0.25">
      <c r="D28"/>
    </row>
    <row r="29" spans="1:4" x14ac:dyDescent="0.25">
      <c r="D29"/>
    </row>
    <row r="30" spans="1:4" x14ac:dyDescent="0.25">
      <c r="D3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Painel</vt:lpstr>
      <vt:lpstr>tbl_apoio</vt:lpstr>
      <vt:lpstr>aporte</vt:lpstr>
      <vt:lpstr>patrimonio</vt:lpstr>
      <vt:lpstr>perfil</vt:lpstr>
      <vt:lpstr>qntd_anos</vt:lpstr>
      <vt:lpstr>rendimento_carteira</vt:lpstr>
      <vt:lpstr>taxa_mensal</vt:lpstr>
      <vt:lpstr>valor_sug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Clara Mendonca De Castro Damasceno</dc:creator>
  <cp:lastModifiedBy>Ana Clara Mendonca De Castro Damasceno</cp:lastModifiedBy>
  <dcterms:created xsi:type="dcterms:W3CDTF">2026-01-01T19:53:14Z</dcterms:created>
  <dcterms:modified xsi:type="dcterms:W3CDTF">2026-01-02T01:20:34Z</dcterms:modified>
</cp:coreProperties>
</file>